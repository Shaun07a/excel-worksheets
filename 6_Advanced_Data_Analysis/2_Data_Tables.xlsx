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AUN\Desktop\Excel for DA\6_Advanced_Data_Analysis\"/>
    </mc:Choice>
  </mc:AlternateContent>
  <xr:revisionPtr revIDLastSave="0" documentId="13_ncr:1_{B312B40F-CCF9-4222-A33F-040B1D20BB12}" xr6:coauthVersionLast="47" xr6:coauthVersionMax="47" xr10:uidLastSave="{00000000-0000-0000-0000-000000000000}"/>
  <bookViews>
    <workbookView xWindow="-108" yWindow="-108" windowWidth="23256" windowHeight="12456" activeTab="3" xr2:uid="{6C37AC85-509F-4D10-9DB1-F70D16D6FBAB}"/>
  </bookViews>
  <sheets>
    <sheet name="One_Input" sheetId="3" r:id="rId1"/>
    <sheet name="Data_Table_One-Input" sheetId="1" r:id="rId2"/>
    <sheet name="Data_Table_Two-Input" sheetId="2" r:id="rId3"/>
    <sheet name="Two_Input" sheetId="4" r:id="rId4"/>
  </sheets>
  <definedNames>
    <definedName name="base" localSheetId="2">'Data_Table_Two-Input'!$C$3</definedName>
    <definedName name="base" localSheetId="0">One_Input!$C$3</definedName>
    <definedName name="base" localSheetId="3">Two_Input!$C$3</definedName>
    <definedName name="base">'Data_Table_One-Input'!$C$3</definedName>
    <definedName name="bonus" localSheetId="2">'Data_Table_Two-Input'!$C$4</definedName>
    <definedName name="bonus" localSheetId="0">One_Input!$C$4</definedName>
    <definedName name="bonus" localSheetId="3">Two_Input!$C$4</definedName>
    <definedName name="bonus">'Data_Table_One-Input'!$C$4</definedName>
    <definedName name="bonuys" localSheetId="2">'Data_Table_Two-Input'!$C$4</definedName>
    <definedName name="bonuys" localSheetId="0">One_Input!$C$4</definedName>
    <definedName name="bonuys" localSheetId="3">Two_Input!$C$4</definedName>
    <definedName name="bonuys">'Data_Table_One-Input'!$C$4</definedName>
    <definedName name="raise" localSheetId="2">'Data_Table_Two-Input'!$C$5</definedName>
    <definedName name="raise" localSheetId="0">One_Input!$C$5</definedName>
    <definedName name="raise" localSheetId="3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4" i="4" s="1"/>
  <c r="E3" i="4" s="1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<sst xmlns="http://schemas.openxmlformats.org/spreadsheetml/2006/main" count="50" uniqueCount="13">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</sst>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5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0" fillId="0" borderId="19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5" fillId="0" borderId="25" xfId="0" applyNumberFormat="1" applyFont="1" applyBorder="1"/>
    <xf numFmtId="166" fontId="2" fillId="0" borderId="26" xfId="0" applyNumberFormat="1" applyFont="1" applyBorder="1"/>
    <xf numFmtId="166" fontId="2" fillId="0" borderId="27" xfId="0" applyNumberFormat="1" applyFont="1" applyBorder="1"/>
    <xf numFmtId="165" fontId="6" fillId="0" borderId="21" xfId="2" applyNumberFormat="1" applyFont="1" applyBorder="1"/>
    <xf numFmtId="165" fontId="6" fillId="0" borderId="22" xfId="2" applyNumberFormat="1" applyFont="1" applyBorder="1"/>
    <xf numFmtId="9" fontId="6" fillId="0" borderId="28" xfId="2" applyFont="1" applyBorder="1"/>
    <xf numFmtId="9" fontId="6" fillId="0" borderId="29" xfId="2" applyFont="1" applyBorder="1"/>
    <xf numFmtId="9" fontId="6" fillId="0" borderId="30" xfId="2" applyFont="1" applyBorder="1"/>
    <xf numFmtId="165" fontId="9" fillId="0" borderId="20" xfId="0" applyNumberFormat="1" applyFont="1" applyBorder="1"/>
    <xf numFmtId="0" fontId="2" fillId="0" borderId="19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L18" sqref="L18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x14ac:dyDescent="0.3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x14ac:dyDescent="0.3">
      <c r="B3" s="6" t="s">
        <v>0</v>
      </c>
      <c r="C3" s="25">
        <v>100000</v>
      </c>
      <c r="E3" s="35"/>
      <c r="F3" s="38">
        <f>C9</f>
        <v>110000.00000000001</v>
      </c>
      <c r="G3" s="38">
        <f>C10</f>
        <v>111650</v>
      </c>
      <c r="H3" s="38">
        <f>C11</f>
        <v>113324.74999999997</v>
      </c>
      <c r="I3" s="38">
        <f>C12</f>
        <v>115024.62124999997</v>
      </c>
      <c r="J3" s="38">
        <f>C13</f>
        <v>116749.99056874996</v>
      </c>
      <c r="K3" s="39">
        <f>C14</f>
        <v>566749.36181874992</v>
      </c>
    </row>
    <row r="4" spans="2:11" x14ac:dyDescent="0.3">
      <c r="B4" s="6" t="s">
        <v>1</v>
      </c>
      <c r="C4" s="26">
        <v>0.1</v>
      </c>
      <c r="E4" s="3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33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36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33">
        <v>555527.56881874998</v>
      </c>
    </row>
    <row r="6" spans="2:11" ht="15" thickBot="1" x14ac:dyDescent="0.35">
      <c r="E6" s="36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33">
        <v>561110.55110000004</v>
      </c>
    </row>
    <row r="7" spans="2:11" x14ac:dyDescent="0.3">
      <c r="B7" s="28" t="s">
        <v>10</v>
      </c>
      <c r="C7" s="29"/>
      <c r="E7" s="36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33">
        <v>566749.36181874992</v>
      </c>
    </row>
    <row r="8" spans="2:11" x14ac:dyDescent="0.3">
      <c r="B8" s="14" t="s">
        <v>11</v>
      </c>
      <c r="C8" s="15" t="s">
        <v>12</v>
      </c>
      <c r="E8" s="36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33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36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33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36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33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36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33">
        <v>589871.24631874997</v>
      </c>
    </row>
    <row r="12" spans="2:11" x14ac:dyDescent="0.3">
      <c r="B12" s="9">
        <v>3</v>
      </c>
      <c r="C12" s="7">
        <f>(base*(1+raise)^B12)*(1+bonus)</f>
        <v>115024.62124999997</v>
      </c>
      <c r="E12" s="37">
        <v>0.04</v>
      </c>
      <c r="F12" s="32">
        <v>110000.00000000001</v>
      </c>
      <c r="G12" s="32">
        <v>114400.00000000001</v>
      </c>
      <c r="H12" s="32">
        <v>118976.00000000003</v>
      </c>
      <c r="I12" s="32">
        <v>123735.04000000002</v>
      </c>
      <c r="J12" s="32">
        <v>128684.44160000002</v>
      </c>
      <c r="K12" s="3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3" tint="0.499984740745262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468E4-C9E9-4DA6-A88C-0C3761516A43}">
  <dimension ref="B1:K14"/>
  <sheetViews>
    <sheetView tabSelected="1" zoomScaleNormal="100" workbookViewId="0">
      <selection activeCell="I21" sqref="I21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x14ac:dyDescent="0.3">
      <c r="B2" s="28" t="s">
        <v>9</v>
      </c>
      <c r="C2" s="29"/>
      <c r="E2" s="5" t="s">
        <v>2</v>
      </c>
      <c r="F2" s="44" t="s">
        <v>1</v>
      </c>
      <c r="G2" s="44"/>
      <c r="H2" s="44"/>
      <c r="I2" s="44"/>
      <c r="J2" s="44"/>
      <c r="K2" s="44"/>
    </row>
    <row r="3" spans="2:11" x14ac:dyDescent="0.3">
      <c r="B3" s="6" t="s">
        <v>0</v>
      </c>
      <c r="C3" s="25">
        <v>100000</v>
      </c>
      <c r="E3" s="43">
        <f>C14</f>
        <v>566749.36181874992</v>
      </c>
      <c r="F3" s="40">
        <v>0</v>
      </c>
      <c r="G3" s="41">
        <v>0.05</v>
      </c>
      <c r="H3" s="41">
        <v>0.1</v>
      </c>
      <c r="I3" s="41">
        <v>0.15</v>
      </c>
      <c r="J3" s="41">
        <v>0.2</v>
      </c>
      <c r="K3" s="42">
        <v>0.25</v>
      </c>
    </row>
    <row r="4" spans="2:11" x14ac:dyDescent="0.3">
      <c r="B4" s="6" t="s">
        <v>1</v>
      </c>
      <c r="C4" s="26">
        <v>0.1</v>
      </c>
      <c r="E4" s="3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33">
        <v>625000</v>
      </c>
    </row>
    <row r="5" spans="2:11" ht="15" thickBot="1" x14ac:dyDescent="0.35">
      <c r="B5" s="8" t="s">
        <v>2</v>
      </c>
      <c r="C5" s="27">
        <v>1.4999999999999999E-2</v>
      </c>
      <c r="E5" s="36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33">
        <v>631281.32820312493</v>
      </c>
    </row>
    <row r="6" spans="2:11" ht="15" thickBot="1" x14ac:dyDescent="0.35">
      <c r="E6" s="36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33">
        <v>637625.62624999997</v>
      </c>
    </row>
    <row r="7" spans="2:11" x14ac:dyDescent="0.3">
      <c r="B7" s="28" t="s">
        <v>10</v>
      </c>
      <c r="C7" s="29"/>
      <c r="E7" s="36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33">
        <v>644033.3657031249</v>
      </c>
    </row>
    <row r="8" spans="2:11" x14ac:dyDescent="0.3">
      <c r="B8" s="14" t="s">
        <v>11</v>
      </c>
      <c r="C8" s="15" t="s">
        <v>12</v>
      </c>
      <c r="E8" s="36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33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36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33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36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33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36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33">
        <v>670308.23445312493</v>
      </c>
    </row>
    <row r="12" spans="2:11" x14ac:dyDescent="0.3">
      <c r="B12" s="9">
        <v>3</v>
      </c>
      <c r="C12" s="7">
        <f>(base*(1+raise)^B12)*(1+bonus)</f>
        <v>115024.62124999997</v>
      </c>
      <c r="E12" s="37">
        <v>0.04</v>
      </c>
      <c r="F12" s="32">
        <v>541632.25600000005</v>
      </c>
      <c r="G12" s="32">
        <v>568713.86880000005</v>
      </c>
      <c r="H12" s="32">
        <v>595795.48160000006</v>
      </c>
      <c r="I12" s="32">
        <v>622877.09440000006</v>
      </c>
      <c r="J12" s="32">
        <v>649958.70720000006</v>
      </c>
      <c r="K12" s="3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3" tint="0.499984740745262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Data_Table_One-Input</vt:lpstr>
      <vt:lpstr>Data_Table_Two-Input</vt:lpstr>
      <vt:lpstr>Two_Input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shaun joseph</cp:lastModifiedBy>
  <dcterms:created xsi:type="dcterms:W3CDTF">2024-08-08T18:34:47Z</dcterms:created>
  <dcterms:modified xsi:type="dcterms:W3CDTF">2026-08-20T16:43:14Z</dcterms:modified>
</cp:coreProperties>
</file>