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6_Advanced_Data_Analysis\"/>
    </mc:Choice>
  </mc:AlternateContent>
  <xr:revisionPtr revIDLastSave="0" documentId="13_ncr:1_{2C4368C8-4308-4D89-8B52-26BCE58FFEEE}" xr6:coauthVersionLast="47" xr6:coauthVersionMax="47" xr10:uidLastSave="{00000000-0000-0000-0000-000000000000}"/>
  <bookViews>
    <workbookView xWindow="-108" yWindow="-108" windowWidth="23256" windowHeight="12456" firstSheet="4" activeTab="4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7" r:id="rId4"/>
    <sheet name="Answer Report 1" sheetId="18" r:id="rId5"/>
    <sheet name="Sensitivity Report 1" sheetId="19" r:id="rId6"/>
    <sheet name="Limits Report 1" sheetId="20" r:id="rId7"/>
    <sheet name="Answer Report 2" sheetId="21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'What-If_Analysis'!$B$14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0.04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7" i="16" l="1"/>
  <c r="C383" i="16"/>
  <c r="C399" i="16"/>
  <c r="C415" i="16"/>
  <c r="C431" i="16"/>
  <c r="C447" i="16"/>
  <c r="C368" i="16"/>
  <c r="C384" i="16"/>
  <c r="C400" i="16"/>
  <c r="C416" i="16"/>
  <c r="C432" i="16"/>
  <c r="C448" i="16"/>
  <c r="C369" i="16"/>
  <c r="C385" i="16"/>
  <c r="C401" i="16"/>
  <c r="C417" i="16"/>
  <c r="C433" i="16"/>
  <c r="C449" i="16"/>
  <c r="C370" i="16"/>
  <c r="C386" i="16"/>
  <c r="C402" i="16"/>
  <c r="C418" i="16"/>
  <c r="C434" i="16"/>
  <c r="C450" i="16"/>
  <c r="C371" i="16"/>
  <c r="C387" i="16"/>
  <c r="C403" i="16"/>
  <c r="C419" i="16"/>
  <c r="C435" i="16"/>
  <c r="C451" i="16"/>
  <c r="C372" i="16"/>
  <c r="C388" i="16"/>
  <c r="C404" i="16"/>
  <c r="C420" i="16"/>
  <c r="C436" i="16"/>
  <c r="C452" i="16"/>
  <c r="C373" i="16"/>
  <c r="C389" i="16"/>
  <c r="C405" i="16"/>
  <c r="C421" i="16"/>
  <c r="C437" i="16"/>
  <c r="C453" i="16"/>
  <c r="C374" i="16"/>
  <c r="C390" i="16"/>
  <c r="C406" i="16"/>
  <c r="C422" i="16"/>
  <c r="C438" i="16"/>
  <c r="C454" i="16"/>
  <c r="C375" i="16"/>
  <c r="C391" i="16"/>
  <c r="C407" i="16"/>
  <c r="C423" i="16"/>
  <c r="C439" i="16"/>
  <c r="C455" i="16"/>
  <c r="C376" i="16"/>
  <c r="C392" i="16"/>
  <c r="C408" i="16"/>
  <c r="C424" i="16"/>
  <c r="C440" i="16"/>
  <c r="C456" i="16"/>
  <c r="C377" i="16"/>
  <c r="C393" i="16"/>
  <c r="C409" i="16"/>
  <c r="C425" i="16"/>
  <c r="C441" i="16"/>
  <c r="C457" i="16"/>
  <c r="C378" i="16"/>
  <c r="C394" i="16"/>
  <c r="C410" i="16"/>
  <c r="C426" i="16"/>
  <c r="C442" i="16"/>
  <c r="C458" i="16"/>
  <c r="C379" i="16"/>
  <c r="C395" i="16"/>
  <c r="C411" i="16"/>
  <c r="C427" i="16"/>
  <c r="C443" i="16"/>
  <c r="C459" i="16"/>
  <c r="C380" i="16"/>
  <c r="C396" i="16"/>
  <c r="C412" i="16"/>
  <c r="C428" i="16"/>
  <c r="C444" i="16"/>
  <c r="C460" i="16"/>
  <c r="C381" i="16"/>
  <c r="C397" i="16"/>
  <c r="C413" i="16"/>
  <c r="C429" i="16"/>
  <c r="C445" i="16"/>
  <c r="C382" i="16"/>
  <c r="C398" i="16"/>
  <c r="C414" i="16"/>
  <c r="C430" i="16"/>
  <c r="C446" i="16"/>
  <c r="E446" i="16"/>
  <c r="E397" i="16"/>
  <c r="E459" i="16"/>
  <c r="E426" i="16"/>
  <c r="E393" i="16"/>
  <c r="E455" i="16"/>
  <c r="E422" i="16"/>
  <c r="D389" i="16"/>
  <c r="E451" i="16"/>
  <c r="D418" i="16"/>
  <c r="D385" i="16"/>
  <c r="E447" i="16"/>
  <c r="D397" i="16"/>
  <c r="D426" i="16"/>
  <c r="D393" i="16"/>
  <c r="D455" i="16"/>
  <c r="E389" i="16"/>
  <c r="D451" i="16"/>
  <c r="E418" i="16"/>
  <c r="E385" i="16"/>
  <c r="E410" i="16"/>
  <c r="D373" i="16"/>
  <c r="D369" i="16"/>
  <c r="D431" i="16"/>
  <c r="D386" i="16"/>
  <c r="D427" i="16"/>
  <c r="D452" i="16"/>
  <c r="E444" i="16"/>
  <c r="E407" i="16"/>
  <c r="E399" i="16"/>
  <c r="D440" i="16"/>
  <c r="D403" i="16"/>
  <c r="E382" i="16"/>
  <c r="D453" i="16"/>
  <c r="D395" i="16"/>
  <c r="E416" i="16"/>
  <c r="E408" i="16"/>
  <c r="D412" i="16"/>
  <c r="D367" i="16"/>
  <c r="E388" i="16"/>
  <c r="D454" i="16"/>
  <c r="E372" i="16"/>
  <c r="D446" i="16"/>
  <c r="D459" i="16"/>
  <c r="D422" i="16"/>
  <c r="D447" i="16"/>
  <c r="D439" i="16"/>
  <c r="E435" i="16"/>
  <c r="E431" i="16"/>
  <c r="E369" i="16"/>
  <c r="E390" i="16"/>
  <c r="D414" i="16"/>
  <c r="E423" i="16"/>
  <c r="D419" i="16"/>
  <c r="D415" i="16"/>
  <c r="E411" i="16"/>
  <c r="E374" i="16"/>
  <c r="E432" i="16"/>
  <c r="D398" i="16"/>
  <c r="E370" i="16"/>
  <c r="E428" i="16"/>
  <c r="E391" i="16"/>
  <c r="D449" i="16"/>
  <c r="D428" i="16"/>
  <c r="E453" i="16"/>
  <c r="D383" i="16"/>
  <c r="E441" i="16"/>
  <c r="E400" i="16"/>
  <c r="D441" i="16"/>
  <c r="D400" i="16"/>
  <c r="E396" i="16"/>
  <c r="D396" i="16"/>
  <c r="D384" i="16"/>
  <c r="E368" i="16"/>
  <c r="E430" i="16"/>
  <c r="E381" i="16"/>
  <c r="E443" i="16"/>
  <c r="E377" i="16"/>
  <c r="E406" i="16"/>
  <c r="D402" i="16"/>
  <c r="E402" i="16"/>
  <c r="E448" i="16"/>
  <c r="D460" i="16"/>
  <c r="D448" i="16"/>
  <c r="E440" i="16"/>
  <c r="E403" i="16"/>
  <c r="D444" i="16"/>
  <c r="D374" i="16"/>
  <c r="D399" i="16"/>
  <c r="E424" i="16"/>
  <c r="D416" i="16"/>
  <c r="D420" i="16"/>
  <c r="E379" i="16"/>
  <c r="D433" i="16"/>
  <c r="D371" i="16"/>
  <c r="E454" i="16"/>
  <c r="D429" i="16"/>
  <c r="E401" i="16"/>
  <c r="D430" i="16"/>
  <c r="D381" i="16"/>
  <c r="D443" i="16"/>
  <c r="D410" i="16"/>
  <c r="D377" i="16"/>
  <c r="E439" i="16"/>
  <c r="D406" i="16"/>
  <c r="E373" i="16"/>
  <c r="D435" i="16"/>
  <c r="E452" i="16"/>
  <c r="E415" i="16"/>
  <c r="D394" i="16"/>
  <c r="D390" i="16"/>
  <c r="E378" i="16"/>
  <c r="D370" i="16"/>
  <c r="D378" i="16"/>
  <c r="D436" i="16"/>
  <c r="E457" i="16"/>
  <c r="E387" i="16"/>
  <c r="D457" i="16"/>
  <c r="E449" i="16"/>
  <c r="E375" i="16"/>
  <c r="E367" i="16"/>
  <c r="D375" i="16"/>
  <c r="E392" i="16"/>
  <c r="D425" i="16"/>
  <c r="D368" i="16"/>
  <c r="E414" i="16"/>
  <c r="E460" i="16"/>
  <c r="E427" i="16"/>
  <c r="E394" i="16"/>
  <c r="E456" i="16"/>
  <c r="D423" i="16"/>
  <c r="E419" i="16"/>
  <c r="D456" i="16"/>
  <c r="E386" i="16"/>
  <c r="E398" i="16"/>
  <c r="E436" i="16"/>
  <c r="D411" i="16"/>
  <c r="D432" i="16"/>
  <c r="E420" i="16"/>
  <c r="D424" i="16"/>
  <c r="D437" i="16"/>
  <c r="D404" i="16"/>
  <c r="D421" i="16"/>
  <c r="D388" i="16"/>
  <c r="D407" i="16"/>
  <c r="D382" i="16"/>
  <c r="E412" i="16"/>
  <c r="E371" i="16"/>
  <c r="D445" i="16"/>
  <c r="E433" i="16"/>
  <c r="E458" i="16"/>
  <c r="E384" i="16"/>
  <c r="E421" i="16"/>
  <c r="D405" i="16"/>
  <c r="D379" i="16"/>
  <c r="E450" i="16"/>
  <c r="E434" i="16"/>
  <c r="D387" i="16"/>
  <c r="E437" i="16"/>
  <c r="E425" i="16"/>
  <c r="D458" i="16"/>
  <c r="E417" i="16"/>
  <c r="D372" i="16"/>
  <c r="E395" i="16"/>
  <c r="E383" i="16"/>
  <c r="D391" i="16"/>
  <c r="E445" i="16"/>
  <c r="E404" i="16"/>
  <c r="D408" i="16"/>
  <c r="E429" i="16"/>
  <c r="D417" i="16"/>
  <c r="D392" i="16"/>
  <c r="D434" i="16"/>
  <c r="D450" i="16"/>
  <c r="E438" i="16"/>
  <c r="E376" i="16"/>
  <c r="E413" i="16"/>
  <c r="E380" i="16"/>
  <c r="E442" i="16"/>
  <c r="E409" i="16"/>
  <c r="D401" i="16"/>
  <c r="D413" i="16"/>
  <c r="D380" i="16"/>
  <c r="D442" i="16"/>
  <c r="D409" i="16"/>
  <c r="D376" i="16"/>
  <c r="D438" i="16"/>
  <c r="E405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<sst xmlns="http://schemas.openxmlformats.org/spreadsheetml/2006/main" count="287" uniqueCount="94">
  <si>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</si>
  <si>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</si>
  <si>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</si>
  <si>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</si>
  <si>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</si>
  <si>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</si>
  <si>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</si>
  <si>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</si>
  <si>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</si>
  <si>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</si>
  <si>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</si>
  <si>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</si>
  <si>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</si>
  <si>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</si>
  <si>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</si>
  <si>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</si>
  <si>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</si>
  <si>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</si>
  <si>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</si>
  <si>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</si>
  <si>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</si>
  <si>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</si>
  <si>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</si>
  <si>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</si>
  <si>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</si>
  <si>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</si>
  <si>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</si>
  <si>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</si>
  <si>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</si>
  <si>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</si>
  <si>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</si>
  <si>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</si>
  <si>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</si>
  <si>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</si>
  <si>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</si>
  <si>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</si>
  <si>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</si>
  <si>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</si>
  <si>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</si>
  <si>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</si>
  <si>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</si>
  <si>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</si>
  <si>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</si>
  <si>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</si>
  <si>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</si>
  <si>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</si>
  <si>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</si>
  <si>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</si>
  <si>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</si>
  <si>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</si>
  <si>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</si>
  <si>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</si>
  <si>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</si>
  <si>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</si>
  <si>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</si>
  <si>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</si>
  <si>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</si>
  <si>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</si>
  <si>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</si>
  <si>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</si>
  <si>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</si>
  <si>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</si>
  <si>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</si>
  <si>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</si>
  <si>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</si>
  <si>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</si>
  <si>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</si>
  <si>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</si>
  <si>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</si>
  <si>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</si>
  <si>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</si>
  <si>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</si>
  <si>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</si>
  <si>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</si>
  <si>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</si>
  <si>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</si>
  <si>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</si>
  <si>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</si>
  <si>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Job1</t>
  </si>
  <si>
    <t>Created by SHAUN on 20-08-2026</t>
  </si>
  <si>
    <t>Job2</t>
  </si>
  <si>
    <t>Job3</t>
  </si>
  <si>
    <t>Report Created: 20-08-2026 21:49:45</t>
  </si>
  <si>
    <t>Solution Time: 0.031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</si>
  <si>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</si>
  <si>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</si>
  <si>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</si>
  <si>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</si>
  <si>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</si>
  <si>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</si>
  <si>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</si>
  <si>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20-08-2026 21:52:30</t>
  </si>
  <si>
    <t>$C$4&lt;=0.2</t>
  </si>
  <si>
    <t>$C$5&lt;=0.04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</si>
</sst>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Sheet1!$B$2:$B$460</c:f>
              <c:numCache>
                <c:formatCode>General</c:formatCode>
                <c:ptCount val="459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A-4A51-8549-1FBF017CA98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Sheet1!$A$2:$A$460</c:f>
              <c:numCache>
                <c:formatCode>[$-409]d\-mmm;@</c:formatCode>
                <c:ptCount val="45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</c:numCache>
            </c:numRef>
          </c:cat>
          <c:val>
            <c:numRef>
              <c:f>Sheet1!$C$2:$C$460</c:f>
              <c:numCache>
                <c:formatCode>General</c:formatCode>
                <c:ptCount val="459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  <c:pt idx="457">
                  <c:v>54.410001347716573</c:v>
                </c:pt>
                <c:pt idx="458">
                  <c:v>73.273583336446364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A-4A51-8549-1FBF017CA98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Sheet1!$A$2:$A$460</c:f>
              <c:numCache>
                <c:formatCode>[$-409]d\-mmm;@</c:formatCode>
                <c:ptCount val="45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</c:numCache>
            </c:numRef>
          </c:cat>
          <c:val>
            <c:numRef>
              <c:f>Sheet1!$D$2:$D$460</c:f>
              <c:numCache>
                <c:formatCode>General</c:formatCode>
                <c:ptCount val="459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  <c:pt idx="457" formatCode="0.00">
                  <c:v>-106.78505766552736</c:v>
                </c:pt>
                <c:pt idx="458" formatCode="0.00">
                  <c:v>-88.716309936510015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A-4A51-8549-1FBF017CA98A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Sheet1!$A$2:$A$460</c:f>
              <c:numCache>
                <c:formatCode>[$-409]d\-mmm;@</c:formatCode>
                <c:ptCount val="45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</c:numCache>
            </c:numRef>
          </c:cat>
          <c:val>
            <c:numRef>
              <c:f>Sheet1!$E$2:$E$460</c:f>
              <c:numCache>
                <c:formatCode>General</c:formatCode>
                <c:ptCount val="459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  <c:pt idx="457" formatCode="0.00">
                  <c:v>215.60506036096052</c:v>
                </c:pt>
                <c:pt idx="458" formatCode="0.00">
                  <c:v>235.26347660940274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A-4A51-8549-1FBF017CA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160496"/>
        <c:axId val="57318544"/>
      </c:lineChart>
      <c:catAx>
        <c:axId val="16616049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8544"/>
        <c:crosses val="autoZero"/>
        <c:auto val="1"/>
        <c:lblAlgn val="ctr"/>
        <c:lblOffset val="100"/>
        <c:noMultiLvlLbl val="0"/>
      </c:catAx>
      <c:valAx>
        <c:axId val="573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2179320</xdr:colOff>
      <xdr:row>6</xdr:row>
      <xdr:rowOff>3810</xdr:rowOff>
    </xdr:from>
    <xdr:to>
      <xdr:col>13</xdr:col>
      <xdr:colOff>504825</xdr:colOff>
      <xdr:row>26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BCBBE-FBCC-89F9-3238-F0DD941E0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AB1F0-4F14-40D5-99ED-31A23B0E18FF}" name="Table2" displayName="Table2" ref="A1:E460" totalsRowShown="0">
  <autoFilter ref="A1:E460" xr:uid="{B37AB1F0-4F14-40D5-99ED-31A23B0E18FF}"/>
  <tableColumns count="5">
    <tableColumn id="1" xr3:uid="{092ED0EE-F550-45FC-91CC-0773220A6300}" name="Date" dataDxfId="2"/>
    <tableColumn id="2" xr3:uid="{0129B029-14AC-4BC4-824B-144A7F2F7188}" name="Job Count"/>
    <tableColumn id="3" xr3:uid="{C5EFC188-DC61-470C-96F1-BFC27B94F8F5}" name="Forecast(Job Count)">
      <calculatedColumnFormula>_xlfn.FORECAST.ETS(A2,$B$2:$B$366,$A$2:$A$366,1,1)</calculatedColumnFormula>
    </tableColumn>
    <tableColumn id="4" xr3:uid="{FF8F8C3E-5DE6-4E36-85E7-A8FC992001C3}" name="Lower Confidence Bound(Job Count)" dataDxfId="1">
      <calculatedColumnFormula>C2-_xlfn.FORECAST.ETS.CONFINT(A2,$B$2:$B$366,$A$2:$A$366,0.95,1,1)</calculatedColumnFormula>
    </tableColumn>
    <tableColumn id="5" xr3:uid="{0507027D-3AA7-4921-BA28-920EA9C3FAE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9B73-4808-4C29-8880-32AF95CDE2BE}">
  <dimension ref="A1:E460"/>
  <sheetViews>
    <sheetView workbookViewId="0">
      <selection activeCell="J3" sqref="J3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3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3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 x14ac:dyDescent="0.3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 x14ac:dyDescent="0.3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 x14ac:dyDescent="0.3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 x14ac:dyDescent="0.3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 x14ac:dyDescent="0.3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 x14ac:dyDescent="0.3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 x14ac:dyDescent="0.3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 x14ac:dyDescent="0.3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 x14ac:dyDescent="0.3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 x14ac:dyDescent="0.3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 x14ac:dyDescent="0.3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 x14ac:dyDescent="0.3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 x14ac:dyDescent="0.3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 x14ac:dyDescent="0.3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 x14ac:dyDescent="0.3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 x14ac:dyDescent="0.3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 x14ac:dyDescent="0.3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 x14ac:dyDescent="0.3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 x14ac:dyDescent="0.3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 x14ac:dyDescent="0.3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 x14ac:dyDescent="0.3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 x14ac:dyDescent="0.3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 x14ac:dyDescent="0.3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 x14ac:dyDescent="0.3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 x14ac:dyDescent="0.3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 x14ac:dyDescent="0.3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 x14ac:dyDescent="0.3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 x14ac:dyDescent="0.3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 x14ac:dyDescent="0.3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  <row r="459" spans="1:5" x14ac:dyDescent="0.3">
      <c r="A459" s="16">
        <v>45384</v>
      </c>
      <c r="C459">
        <f>_xlfn.FORECAST.ETS(A459,$B$2:$B$366,$A$2:$A$366,1,1)</f>
        <v>54.410001347716573</v>
      </c>
      <c r="D459" s="17">
        <f>C459-_xlfn.FORECAST.ETS.CONFINT(A459,$B$2:$B$366,$A$2:$A$366,0.95,1,1)</f>
        <v>-106.78505766552736</v>
      </c>
      <c r="E459" s="17">
        <f>C459+_xlfn.FORECAST.ETS.CONFINT(A459,$B$2:$B$366,$A$2:$A$366,0.95,1,1)</f>
        <v>215.60506036096052</v>
      </c>
    </row>
    <row r="460" spans="1:5" x14ac:dyDescent="0.3">
      <c r="A460" s="16">
        <v>45385</v>
      </c>
      <c r="C460">
        <f>_xlfn.FORECAST.ETS(A460,$B$2:$B$366,$A$2:$A$366,1,1)</f>
        <v>73.273583336446364</v>
      </c>
      <c r="D460" s="17">
        <f>C460-_xlfn.FORECAST.ETS.CONFINT(A460,$B$2:$B$366,$A$2:$A$366,0.95,1,1)</f>
        <v>-88.716309936510015</v>
      </c>
      <c r="E460" s="17">
        <f>C460+_xlfn.FORECAST.ETS.CONFINT(A460,$B$2:$B$366,$A$2:$A$366,0.95,1,1)</f>
        <v>235.26347660940274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5F00-5C29-45A3-8D1C-77FE3723A1DE}">
  <sheetPr>
    <outlinePr summaryBelow="0"/>
  </sheetPr>
  <dimension ref="B1:G18"/>
  <sheetViews>
    <sheetView showGridLines="0" workbookViewId="0"/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78</v>
      </c>
      <c r="F3" s="28" t="s">
        <v>80</v>
      </c>
      <c r="G3" s="28" t="s">
        <v>81</v>
      </c>
    </row>
    <row r="4" spans="2:7" ht="21.6" hidden="1" outlineLevel="1" x14ac:dyDescent="0.3">
      <c r="B4" s="73"/>
      <c r="C4" s="73"/>
      <c r="D4" s="67"/>
      <c r="E4" s="77" t="s">
        <v>79</v>
      </c>
      <c r="F4" s="77" t="s">
        <v>79</v>
      </c>
      <c r="G4" s="77" t="s">
        <v>79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120000</v>
      </c>
      <c r="E6" s="74">
        <v>100000</v>
      </c>
      <c r="F6" s="74">
        <v>80000</v>
      </c>
      <c r="G6" s="74">
        <v>80000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0.1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1.4999999999999999E-2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FD49-1D2F-4C55-9670-B55C6C835080}">
  <dimension ref="A1:G27"/>
  <sheetViews>
    <sheetView showGridLines="0" tabSelected="1" topLeftCell="A1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82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x14ac:dyDescent="0.3">
      <c r="A6" s="7"/>
      <c r="B6" t="s">
        <v>42</v>
      </c>
    </row>
    <row r="7" spans="1:5" x14ac:dyDescent="0.3">
      <c r="A7" s="7"/>
      <c r="B7" t="s">
        <v>83</v>
      </c>
    </row>
    <row r="8" spans="1:5" x14ac:dyDescent="0.3">
      <c r="A8" s="7"/>
      <c r="B8" t="s">
        <v>84</v>
      </c>
    </row>
    <row r="9" spans="1:5" x14ac:dyDescent="0.3">
      <c r="A9" s="7" t="s">
        <v>45</v>
      </c>
    </row>
    <row r="10" spans="1:5" x14ac:dyDescent="0.3">
      <c r="B10" t="s">
        <v>46</v>
      </c>
    </row>
    <row r="11" spans="1:5" x14ac:dyDescent="0.3">
      <c r="B11" t="s">
        <v>47</v>
      </c>
    </row>
    <row r="12" spans="1:5" x14ac:dyDescent="0.3">
      <c r="B12" t="s">
        <v>48</v>
      </c>
    </row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639999.99999309715</v>
      </c>
      <c r="E16" s="81">
        <v>639999.95106057753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35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2B21-E9A4-4F2C-9D57-6BD9F1D14F6F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85</v>
      </c>
    </row>
    <row r="2" spans="1:5" x14ac:dyDescent="0.3">
      <c r="A2" s="7" t="s">
        <v>38</v>
      </c>
    </row>
    <row r="3" spans="1:5" x14ac:dyDescent="0.3">
      <c r="A3" s="7" t="s">
        <v>82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86</v>
      </c>
      <c r="E7" s="84" t="s">
        <v>87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88</v>
      </c>
    </row>
    <row r="9" spans="1:5" x14ac:dyDescent="0.3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86</v>
      </c>
      <c r="E13" s="84" t="s">
        <v>89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90</v>
      </c>
    </row>
    <row r="15" spans="1:5" ht="15" thickBot="1" x14ac:dyDescent="0.35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9193-11D7-4DDF-8FFC-5C5E815A8E73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0.2187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82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639999.95106057753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" thickBot="1" x14ac:dyDescent="0.35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2B14-1AC7-4506-8B79-3B41B3879035}">
  <dimension ref="A1:G29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91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83</v>
      </c>
    </row>
    <row r="8" spans="1:5" hidden="1" outlineLevel="1" x14ac:dyDescent="0.3">
      <c r="A8" s="7"/>
      <c r="B8" t="s">
        <v>84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639999.95106057753</v>
      </c>
      <c r="E16" s="81">
        <v>640000.39971433557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0.226693026881682</v>
      </c>
      <c r="E21" s="82">
        <v>0.2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2.1270607913771021E-2</v>
      </c>
      <c r="E22" s="83">
        <v>3.2275067772853799E-2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">
      <c r="B27" s="80" t="s">
        <v>29</v>
      </c>
      <c r="C27" s="80" t="s">
        <v>35</v>
      </c>
      <c r="D27" s="86">
        <v>640000.39971433557</v>
      </c>
      <c r="E27" s="80" t="s">
        <v>63</v>
      </c>
      <c r="F27" s="80" t="s">
        <v>64</v>
      </c>
      <c r="G27" s="80">
        <v>0</v>
      </c>
    </row>
    <row r="28" spans="1:7" x14ac:dyDescent="0.3">
      <c r="B28" s="80" t="s">
        <v>60</v>
      </c>
      <c r="C28" s="80" t="s">
        <v>15</v>
      </c>
      <c r="D28" s="82">
        <v>0.2</v>
      </c>
      <c r="E28" s="80" t="s">
        <v>92</v>
      </c>
      <c r="F28" s="80" t="s">
        <v>64</v>
      </c>
      <c r="G28" s="80">
        <v>0</v>
      </c>
    </row>
    <row r="29" spans="1:7" ht="15" thickBot="1" x14ac:dyDescent="0.35">
      <c r="B29" s="78" t="s">
        <v>62</v>
      </c>
      <c r="C29" s="78" t="s">
        <v>16</v>
      </c>
      <c r="D29" s="83">
        <v>3.2275067772853799E-2</v>
      </c>
      <c r="E29" s="78" t="s">
        <v>93</v>
      </c>
      <c r="F29" s="78" t="s">
        <v>66</v>
      </c>
      <c r="G29" s="78">
        <v>7.7249322271462015E-3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6" sqref="C6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0.2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3.2275067772853799E-2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120000</v>
      </c>
    </row>
    <row r="10" spans="2:8" x14ac:dyDescent="0.3">
      <c r="B10" s="4">
        <v>1</v>
      </c>
      <c r="C10" s="2">
        <f>(base*(1+raise)^B10)*(1+bonus)</f>
        <v>123873.00813274246</v>
      </c>
    </row>
    <row r="11" spans="2:8" x14ac:dyDescent="0.3">
      <c r="B11" s="4">
        <v>2</v>
      </c>
      <c r="C11" s="2">
        <f>(base*(1+raise)^B11)*(1+bonus)</f>
        <v>127871.01786545401</v>
      </c>
    </row>
    <row r="12" spans="2:8" x14ac:dyDescent="0.3">
      <c r="B12" s="4">
        <v>3</v>
      </c>
      <c r="C12" s="2">
        <f>(base*(1+raise)^B12)*(1+bonus)</f>
        <v>131998.06363324533</v>
      </c>
    </row>
    <row r="13" spans="2:8" ht="15" thickBot="1" x14ac:dyDescent="0.35">
      <c r="B13" s="36">
        <v>4</v>
      </c>
      <c r="C13" s="37">
        <f>(base*(1+raise)^B13)*(1+bonus)</f>
        <v>136258.31008289379</v>
      </c>
    </row>
    <row r="14" spans="2:8" ht="15.6" thickTop="1" thickBot="1" x14ac:dyDescent="0.35">
      <c r="B14" s="34" t="s">
        <v>3</v>
      </c>
      <c r="C14" s="35">
        <f>SUM(C9:C13)</f>
        <v>640000.39971433557</v>
      </c>
    </row>
  </sheetData>
  <scenarios current="0" sqref="C9:C14">
    <scenario name="Job1" locked="1" count="3" user="SHAUN" comment="Created by SHAUN on 20-08-2026">
      <inputCells r="C3" val="100000" numFmtId="165"/>
      <inputCells r="C4" val="0.1" numFmtId="9"/>
      <inputCells r="C5" val="0.015" numFmtId="166"/>
    </scenario>
    <scenario name="Job2" locked="1" count="3" user="SHAUN" comment="Created by SHAUN on 20-08-2026">
      <inputCells r="C3" val="80000" numFmtId="165"/>
      <inputCells r="C4" val="0.15" numFmtId="9"/>
      <inputCells r="C5" val="0.012" numFmtId="166"/>
    </scenario>
    <scenario name="Job3" locked="1" count="3" user="SHAUN" comment="Created by SHAUN on 20-08-2026">
      <inputCells r="C3" val="80000" numFmtId="165"/>
      <inputCells r="C4" val="0.1" numFmtId="9"/>
      <inputCells r="C5" val="0.015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shaun joseph</cp:lastModifiedBy>
  <dcterms:created xsi:type="dcterms:W3CDTF">2024-08-08T18:34:47Z</dcterms:created>
  <dcterms:modified xsi:type="dcterms:W3CDTF">2026-08-20T16:24:00Z</dcterms:modified>
</cp:coreProperties>
</file>