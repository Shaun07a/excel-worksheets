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2_Formulas_Functions\"/>
    </mc:Choice>
  </mc:AlternateContent>
  <xr:revisionPtr revIDLastSave="0" documentId="13_ncr:1_{3594DB10-54F8-4C05-9796-29A9E6FE5149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/>
  <c r="R7" i="10" a="1"/>
  <c r="R7" i="10" s="1"/>
  <c r="R8" i="10" a="1"/>
  <c r="R8" i="10"/>
  <c r="R9" i="10" a="1"/>
  <c r="R9" i="10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/>
  <c r="R19" i="10" a="1"/>
  <c r="R19" i="10" s="1"/>
  <c r="R20" i="10" a="1"/>
  <c r="R20" i="10" s="1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<sst xmlns="http://schemas.openxmlformats.org/spreadsheetml/2006/main" count="395" uniqueCount="144">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</sst>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AC12" sqref="AC12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" hidden="1" customWidth="1"/>
    <col min="12" max="12" width="14.21875" hidden="1" customWidth="1"/>
    <col min="13" max="13" width="11.109375" hidden="1" customWidth="1"/>
    <col min="14" max="14" width="6.5546875" hidden="1" customWidth="1"/>
    <col min="15" max="15" width="6" hidden="1" customWidth="1"/>
    <col min="16" max="16" width="11.109375" bestFit="1" customWidth="1"/>
    <col min="17" max="18" width="9.886718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 "NOT Desired")</f>
        <v>NOT Desired</v>
      </c>
      <c r="L2" t="str">
        <f>IF($A2=L$1,"Role Desired", "NOT Desired")</f>
        <v>NOT Desired</v>
      </c>
      <c r="M2" t="str">
        <f>IF($A2=K$1,"Role Desired", IF($A2=L$1,"Role Desired", "NOT Desired"))</f>
        <v>NOT Desired</v>
      </c>
      <c r="N2" t="b">
        <f t="shared" ref="N2:N21" si="0">AND($A2=$K$1,$A2=$L$1)</f>
        <v>0</v>
      </c>
      <c r="O2" t="b">
        <f t="shared" ref="O2:O21" si="1">OR($A2=$K$1,$A2=$L$1)</f>
        <v>0</v>
      </c>
      <c r="P2" t="str">
        <f>IF(OR($A2=$K$1,$A2=$L$1),"Role Desired", "NOT Desired")</f>
        <v>NOT Desired</v>
      </c>
      <c r="Q2" t="str">
        <f>IF($H2&gt;$Q$1, "Salary&gt;85K", "Salary Low")</f>
        <v>Salary&gt;85K</v>
      </c>
      <c r="R2" t="str" cm="1">
        <f t="array" ref="R2">_xlfn.IFS($H2="","No Data", $H2&gt;=$Q$1,"Salary&gt;85K",TRUE, "Salary Low")</f>
        <v>Salary&gt;85K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2">IF($A3=K$1,"Role Desired", "NOT Desired")</f>
        <v>Role Desired</v>
      </c>
      <c r="L3" t="str">
        <f t="shared" si="2"/>
        <v>NOT Desired</v>
      </c>
      <c r="M3" t="str">
        <f t="shared" ref="M3:M21" si="3">IF($A3=K$1,"Role Desired", IF($A3=L$1,"Role Desired", "NOT Desired"))</f>
        <v>Role Desired</v>
      </c>
      <c r="N3" t="b">
        <f t="shared" si="0"/>
        <v>0</v>
      </c>
      <c r="O3" t="b">
        <f t="shared" si="1"/>
        <v>1</v>
      </c>
      <c r="P3" t="str">
        <f t="shared" ref="P3:P21" si="4">IF(OR($A3=$K$1,$A3=$L$1),"Role Desired", "NOT Desired")</f>
        <v>Role Desired</v>
      </c>
      <c r="Q3" t="str">
        <f t="shared" ref="Q3:Q21" si="5">IF($H3&gt;$Q$1, "Salary&gt;85K", "Salary Low")</f>
        <v>Salary Low</v>
      </c>
      <c r="R3" t="str" cm="1">
        <f t="array" ref="R3">_xlfn.IFS($H3="","No Data", $H3&gt;=$Q$1,"Salary&gt;85K",TRUE, "Salary Low")</f>
        <v>Salary Low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2"/>
        <v>Role Desired</v>
      </c>
      <c r="L4" t="str">
        <f t="shared" si="2"/>
        <v>NOT Desired</v>
      </c>
      <c r="M4" t="str">
        <f t="shared" si="3"/>
        <v>Role Desired</v>
      </c>
      <c r="N4" t="b">
        <f t="shared" si="0"/>
        <v>0</v>
      </c>
      <c r="O4" t="b">
        <f t="shared" si="1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 $H4&gt;=$Q$1,"Salary&gt;85K",TRUE, "Salary Low")</f>
        <v>No Data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2"/>
        <v>NOT Desired</v>
      </c>
      <c r="L5" t="str">
        <f t="shared" si="2"/>
        <v>NOT Desired</v>
      </c>
      <c r="M5" t="str">
        <f t="shared" si="3"/>
        <v>NOT Desired</v>
      </c>
      <c r="N5" t="b">
        <f t="shared" si="0"/>
        <v>0</v>
      </c>
      <c r="O5" t="b">
        <f t="shared" si="1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 $H5&gt;=$Q$1,"Salary&gt;85K",TRUE, "Salary Low")</f>
        <v>No Data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2"/>
        <v>NOT Desired</v>
      </c>
      <c r="L6" t="str">
        <f t="shared" si="2"/>
        <v>NOT Desired</v>
      </c>
      <c r="M6" t="str">
        <f t="shared" si="3"/>
        <v>NOT Desired</v>
      </c>
      <c r="N6" t="b">
        <f t="shared" si="0"/>
        <v>0</v>
      </c>
      <c r="O6" t="b">
        <f t="shared" si="1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 $H6&gt;=$Q$1,"Salary&gt;85K",TRUE, "Salary Low")</f>
        <v>No Data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2"/>
        <v>NOT Desired</v>
      </c>
      <c r="L7" t="str">
        <f t="shared" si="2"/>
        <v>NOT Desired</v>
      </c>
      <c r="M7" t="str">
        <f t="shared" si="3"/>
        <v>NOT Desired</v>
      </c>
      <c r="N7" t="b">
        <f t="shared" si="0"/>
        <v>0</v>
      </c>
      <c r="O7" t="b">
        <f t="shared" si="1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 $H7&gt;=$Q$1,"Salary&gt;85K",TRUE, "Salary Low")</f>
        <v>No Data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2"/>
        <v>Role Desired</v>
      </c>
      <c r="L8" t="str">
        <f t="shared" si="2"/>
        <v>NOT Desired</v>
      </c>
      <c r="M8" t="str">
        <f t="shared" si="3"/>
        <v>Role Desired</v>
      </c>
      <c r="N8" t="b">
        <f t="shared" si="0"/>
        <v>0</v>
      </c>
      <c r="O8" t="b">
        <f t="shared" si="1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 $H8&gt;=$Q$1,"Salary&gt;85K",TRUE, "Salary Low")</f>
        <v>No Data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2"/>
        <v>Role Desired</v>
      </c>
      <c r="L9" t="str">
        <f t="shared" si="2"/>
        <v>NOT Desired</v>
      </c>
      <c r="M9" t="str">
        <f t="shared" si="3"/>
        <v>Role Desired</v>
      </c>
      <c r="N9" t="b">
        <f t="shared" si="0"/>
        <v>0</v>
      </c>
      <c r="O9" t="b">
        <f t="shared" si="1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_xlfn.IFS($H9="","No Data", $H9&gt;=$Q$1,"Salary&gt;85K",TRUE, "Salary Low")</f>
        <v>Salary&gt;85K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2"/>
        <v>Role Desired</v>
      </c>
      <c r="L10" t="str">
        <f t="shared" si="2"/>
        <v>NOT Desired</v>
      </c>
      <c r="M10" t="str">
        <f t="shared" si="3"/>
        <v>Role Desired</v>
      </c>
      <c r="N10" t="b">
        <f t="shared" si="0"/>
        <v>0</v>
      </c>
      <c r="O10" t="b">
        <f t="shared" si="1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 $H10&gt;=$Q$1,"Salary&gt;85K",TRUE, "Salary Low")</f>
        <v>No Data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2"/>
        <v>Role Desired</v>
      </c>
      <c r="L11" t="str">
        <f t="shared" si="2"/>
        <v>NOT Desired</v>
      </c>
      <c r="M11" t="str">
        <f t="shared" si="3"/>
        <v>Role Desired</v>
      </c>
      <c r="N11" t="b">
        <f t="shared" si="0"/>
        <v>0</v>
      </c>
      <c r="O11" t="b">
        <f t="shared" si="1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_xlfn.IFS($H11="","No Data", $H11&gt;=$Q$1,"Salary&gt;85K",TRUE, "Salary Low")</f>
        <v>Salary&gt;85K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2"/>
        <v>NOT Desired</v>
      </c>
      <c r="L12" t="str">
        <f t="shared" si="2"/>
        <v>NOT Desired</v>
      </c>
      <c r="M12" t="str">
        <f t="shared" si="3"/>
        <v>NOT Desired</v>
      </c>
      <c r="N12" t="b">
        <f t="shared" si="0"/>
        <v>0</v>
      </c>
      <c r="O12" t="b">
        <f t="shared" si="1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 $H12&gt;=$Q$1,"Salary&gt;85K",TRUE, "Salary Low")</f>
        <v>Salary&gt;85K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2"/>
        <v>NOT Desired</v>
      </c>
      <c r="L13" t="str">
        <f t="shared" si="2"/>
        <v>NOT Desired</v>
      </c>
      <c r="M13" t="str">
        <f t="shared" si="3"/>
        <v>NOT Desired</v>
      </c>
      <c r="N13" t="b">
        <f t="shared" si="0"/>
        <v>0</v>
      </c>
      <c r="O13" t="b">
        <f t="shared" si="1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 $H13&gt;=$Q$1,"Salary&gt;85K",TRUE, "Salary Low")</f>
        <v>Salary&gt;85K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2"/>
        <v>NOT Desired</v>
      </c>
      <c r="L14" t="str">
        <f t="shared" si="2"/>
        <v>NOT Desired</v>
      </c>
      <c r="M14" t="str">
        <f t="shared" si="3"/>
        <v>NOT Desired</v>
      </c>
      <c r="N14" t="b">
        <f t="shared" si="0"/>
        <v>0</v>
      </c>
      <c r="O14" t="b">
        <f t="shared" si="1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 $H14&gt;=$Q$1,"Salary&gt;85K",TRUE, "Salary Low")</f>
        <v>Salary&gt;85K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2"/>
        <v>NOT Desired</v>
      </c>
      <c r="L15" t="str">
        <f t="shared" si="2"/>
        <v>NOT Desired</v>
      </c>
      <c r="M15" t="str">
        <f t="shared" si="3"/>
        <v>NOT Desired</v>
      </c>
      <c r="N15" t="b">
        <f t="shared" si="0"/>
        <v>0</v>
      </c>
      <c r="O15" t="b">
        <f t="shared" si="1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 $H15&gt;=$Q$1,"Salary&gt;85K",TRUE, "Salary Low")</f>
        <v>Salary Low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2"/>
        <v>NOT Desired</v>
      </c>
      <c r="L16" t="str">
        <f t="shared" si="2"/>
        <v>NOT Desired</v>
      </c>
      <c r="M16" t="str">
        <f t="shared" si="3"/>
        <v>NOT Desired</v>
      </c>
      <c r="N16" t="b">
        <f t="shared" si="0"/>
        <v>0</v>
      </c>
      <c r="O16" t="b">
        <f t="shared" si="1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 $H16&gt;=$Q$1,"Salary&gt;85K",TRUE, "Salary Low")</f>
        <v>Salary&gt;85K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2"/>
        <v>NOT Desired</v>
      </c>
      <c r="L17" t="str">
        <f t="shared" si="2"/>
        <v>NOT Desired</v>
      </c>
      <c r="M17" t="str">
        <f t="shared" si="3"/>
        <v>NOT Desired</v>
      </c>
      <c r="N17" t="b">
        <f t="shared" si="0"/>
        <v>0</v>
      </c>
      <c r="O17" t="b">
        <f t="shared" si="1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 $H17&gt;=$Q$1,"Salary&gt;85K",TRUE, "Salary Low")</f>
        <v>Salary&gt;85K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2"/>
        <v>NOT Desired</v>
      </c>
      <c r="L18" t="str">
        <f t="shared" si="2"/>
        <v>Role Desired</v>
      </c>
      <c r="M18" t="str">
        <f t="shared" si="3"/>
        <v>Role Desired</v>
      </c>
      <c r="N18" t="b">
        <f t="shared" si="0"/>
        <v>0</v>
      </c>
      <c r="O18" t="b">
        <f t="shared" si="1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 $H18&gt;=$Q$1,"Salary&gt;85K",TRUE,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2"/>
        <v>NOT Desired</v>
      </c>
      <c r="L19" t="str">
        <f t="shared" si="2"/>
        <v>NOT Desired</v>
      </c>
      <c r="M19" t="str">
        <f t="shared" si="3"/>
        <v>NOT Desired</v>
      </c>
      <c r="N19" t="b">
        <f t="shared" si="0"/>
        <v>0</v>
      </c>
      <c r="O19" t="b">
        <f t="shared" si="1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 $H19&gt;=$Q$1,"Salary&gt;85K",TRUE, "Salary Low")</f>
        <v>Salary&gt;85K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2"/>
        <v>NOT Desired</v>
      </c>
      <c r="L20" t="str">
        <f t="shared" si="2"/>
        <v>NOT Desired</v>
      </c>
      <c r="M20" t="str">
        <f t="shared" si="3"/>
        <v>NOT Desired</v>
      </c>
      <c r="N20" t="b">
        <f t="shared" si="0"/>
        <v>0</v>
      </c>
      <c r="O20" t="b">
        <f t="shared" si="1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 $H20&gt;=$Q$1,"Salary&gt;85K",TRUE,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2"/>
        <v>NOT Desired</v>
      </c>
      <c r="L21" t="str">
        <f t="shared" si="2"/>
        <v>Role Desired</v>
      </c>
      <c r="M21" t="str">
        <f t="shared" si="3"/>
        <v>Role Desired</v>
      </c>
      <c r="N21" t="b">
        <f t="shared" si="0"/>
        <v>0</v>
      </c>
      <c r="O21" t="b">
        <f t="shared" si="1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_xlfn.IFS($H21="","No Data", $H21&gt;=$Q$1,"Salary&gt;85K",TRUE, "Salary 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shaun joseph</cp:lastModifiedBy>
  <dcterms:created xsi:type="dcterms:W3CDTF">2024-07-16T20:11:02Z</dcterms:created>
  <dcterms:modified xsi:type="dcterms:W3CDTF">2026-08-06T17:28:00Z</dcterms:modified>
</cp:coreProperties>
</file>